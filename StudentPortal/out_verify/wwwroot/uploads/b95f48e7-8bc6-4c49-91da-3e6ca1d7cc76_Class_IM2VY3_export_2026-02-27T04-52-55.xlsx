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Student_ID</v>
      </c>
      <c r="B1" t="str">
        <v>Full_Name</v>
      </c>
      <c r="C1" t="str">
        <v>Subject_Name</v>
      </c>
      <c r="D1" t="str">
        <v>Subject_ID</v>
      </c>
      <c r="E1" t="str">
        <v>Attendance_2026-02-03</v>
      </c>
      <c r="F1" t="str">
        <v>Attendance_2026-02-27</v>
      </c>
      <c r="G1" t="str">
        <v>test</v>
      </c>
      <c r="H1" t="str">
        <v>TaskGrade</v>
      </c>
      <c r="I1" t="str">
        <v>test</v>
      </c>
      <c r="J1" t="str">
        <v>TaskGrade</v>
      </c>
      <c r="K1" t="str">
        <v>test</v>
      </c>
      <c r="L1" t="str">
        <v>TaskGrade</v>
      </c>
      <c r="M1" t="str">
        <v>Assessment</v>
      </c>
      <c r="N1" t="str">
        <v>Standing</v>
      </c>
    </row>
    <row r="2">
      <c r="A2" t="str">
        <v>2026-0002</v>
      </c>
      <c r="B2" t="str">
        <v>Nath N/A Tolentino</v>
      </c>
      <c r="C2" t="str">
        <v>GEE1</v>
      </c>
      <c r="D2" t="str">
        <v>GEE1</v>
      </c>
      <c r="E2" t="str">
        <v>Late</v>
      </c>
      <c r="F2" t="str">
        <v>Present</v>
      </c>
      <c r="G2" t="str">
        <v>test</v>
      </c>
      <c r="H2" t="str">
        <v/>
      </c>
      <c r="I2" t="str">
        <v>test</v>
      </c>
      <c r="J2" t="str">
        <v/>
      </c>
      <c r="K2" t="str">
        <v>test</v>
      </c>
      <c r="L2" t="str">
        <v/>
      </c>
      <c r="M2" t="str">
        <v/>
      </c>
      <c r="N2">
        <f>IF(((IFERROR((COUNTIF(E2:F2,"Present")+0.5*COUNTIF(E2:F2,"Late"))/COUNTA(E2:F2)*100,50))*0.20+(IFERROR(AVERAGE(IFERROR(IF(ISNUMBER(H2),H2,IF(RIGHT(H2,1)="%",VALUE(H2)*100,IFERROR(VALUE(LEFT(H2,FIND("/",H2)-1))/VALUE(MID(H2,FIND("/",H2)+1,99))*100,VALUE(H2)))),NA()),IFERROR(IF(ISNUMBER(J2),J2,IF(RIGHT(J2,1)="%",VALUE(J2)*100,IFERROR(VALUE(LEFT(J2,FIND("/",J2)-1))/VALUE(MID(J2,FIND("/",J2)+1,99))*100,VALUE(J2)))),NA()),IFERROR(IF(ISNUMBER(L2),L2,IF(RIGHT(L2,1)="%",VALUE(L2)*100,IFERROR(VALUE(LEFT(L2,FIND("/",L2)-1))/VALUE(MID(L2,FIND("/",L2)+1,99))*100,VALUE(L2)))),NA())),50))*0.50+(IFERROR(IF(ISNUMBER(M2),M2,IF(RIGHT(M2,1)="%",VALUE(M2)*100,IFERROR(VALUE(LEFT(M2,FIND("/",M2)-1))/VALUE(MID(M2,FIND("/",M2)+1,99))*100,VALUE(M2)))),50))*0.30)&gt;=75,"Passed","Failed")</f>
      </c>
    </row>
    <row r="3">
      <c r="A3" t="str">
        <v>2026-0003</v>
      </c>
      <c r="B3" t="str">
        <v>Daniel N/A Tolentino</v>
      </c>
      <c r="C3" t="str">
        <v>GEE1</v>
      </c>
      <c r="D3" t="str">
        <v>GEE1</v>
      </c>
      <c r="E3" t="str">
        <v>Present</v>
      </c>
      <c r="F3" t="str">
        <v>Late</v>
      </c>
      <c r="G3" t="str">
        <v>test</v>
      </c>
      <c r="H3" t="str">
        <v/>
      </c>
      <c r="I3" t="str">
        <v>test</v>
      </c>
      <c r="J3" t="str">
        <v/>
      </c>
      <c r="K3" t="str">
        <v>test</v>
      </c>
      <c r="L3" t="str">
        <v/>
      </c>
      <c r="M3" t="str">
        <v/>
      </c>
      <c r="N3">
        <f>IF(((IFERROR((COUNTIF(E3:F3,"Present")+0.5*COUNTIF(E3:F3,"Late"))/COUNTA(E3:F3)*100,50))*0.20+(IFERROR(AVERAGE(IFERROR(IF(ISNUMBER(H3),H3,IF(RIGHT(H3,1)="%",VALUE(H3)*100,IFERROR(VALUE(LEFT(H3,FIND("/",H3)-1))/VALUE(MID(H3,FIND("/",H3)+1,99))*100,VALUE(H3)))),NA()),IFERROR(IF(ISNUMBER(J3),J3,IF(RIGHT(J3,1)="%",VALUE(J3)*100,IFERROR(VALUE(LEFT(J3,FIND("/",J3)-1))/VALUE(MID(J3,FIND("/",J3)+1,99))*100,VALUE(J3)))),NA()),IFERROR(IF(ISNUMBER(L3),L3,IF(RIGHT(L3,1)="%",VALUE(L3)*100,IFERROR(VALUE(LEFT(L3,FIND("/",L3)-1))/VALUE(MID(L3,FIND("/",L3)+1,99))*100,VALUE(L3)))),NA())),50))*0.50+(IFERROR(IF(ISNUMBER(M3),M3,IF(RIGHT(M3,1)="%",VALUE(M3)*100,IFERROR(VALUE(LEFT(M3,FIND("/",M3)-1))/VALUE(MID(M3,FIND("/",M3)+1,99))*100,VALUE(M3)))),50))*0.30)&gt;=75,"Passed","Failed")</f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